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anh vien" sheetId="1" r:id="rId4"/>
    <sheet state="visible" name="Chia viec" sheetId="2" r:id="rId5"/>
  </sheets>
  <definedNames>
    <definedName hidden="1" localSheetId="1" name="_xlnm._FilterDatabase">'Chia viec'!$A$1:$J$20</definedName>
  </definedNames>
  <calcPr/>
</workbook>
</file>

<file path=xl/sharedStrings.xml><?xml version="1.0" encoding="utf-8"?>
<sst xmlns="http://schemas.openxmlformats.org/spreadsheetml/2006/main" count="185" uniqueCount="132">
  <si>
    <t>STT</t>
  </si>
  <si>
    <t>Ho Ten</t>
  </si>
  <si>
    <t>Gmail</t>
  </si>
  <si>
    <t>GitHub</t>
  </si>
  <si>
    <t>Thành viên</t>
  </si>
  <si>
    <t>Trách nhiệm chính</t>
  </si>
  <si>
    <t>Trách nhiệm phụ</t>
  </si>
  <si>
    <t>Chon Role</t>
  </si>
  <si>
    <t>Ho Tuan Linh</t>
  </si>
  <si>
    <t>linh.hotuanbk2209@gmail.com</t>
  </si>
  <si>
    <t>github.com/tuan2linh</t>
  </si>
  <si>
    <t>A – Data Engineer</t>
  </si>
  <si>
    <t>Làm sạch, chuẩn hóa, chọn đặc trưng,
 xử lý SMOTE.</t>
  </si>
  <si>
    <t>Hỗ trợ training mô hình.</t>
  </si>
  <si>
    <t>Dang Khoa</t>
  </si>
  <si>
    <t>Mai Xuan Phuc</t>
  </si>
  <si>
    <t>maip5657@gmail.com</t>
  </si>
  <si>
    <t>https://github.com/phucmaixuan</t>
  </si>
  <si>
    <t>B – ML Engineer</t>
  </si>
  <si>
    <t>Huấn luyện và lưu 5 mô hình (SVM, NB, 
RF, ANN, KNN).</t>
  </si>
  <si>
    <t>Hỗ trợ phân tích kết quả.</t>
  </si>
  <si>
    <t>Tuan Linh</t>
  </si>
  <si>
    <t>Trần Đăng Khoa</t>
  </si>
  <si>
    <t>trandangkhoa020704@gmail.com</t>
  </si>
  <si>
    <t>https://github.com/khoaphunsonac</t>
  </si>
  <si>
    <t>C – Analyst &amp; Reporter</t>
  </si>
  <si>
    <t>Đánh giá, trực quan hóa, viết báo cáo,
 làm slide, trình bày.</t>
  </si>
  <si>
    <t>Hỗ trợ kiểm thử và kết luận.</t>
  </si>
  <si>
    <t>Xuan Phuc</t>
  </si>
  <si>
    <t>Quy trinh thuc hien</t>
  </si>
  <si>
    <t>Repo Github</t>
  </si>
  <si>
    <t>https://github.com/tuan2linh/KhaiPhaDuLieu_HeartAttackPrediction</t>
  </si>
  <si>
    <t>Dien thong tin GitHub de minh them vao repo</t>
  </si>
  <si>
    <t>https://drive.google.com/drive/folders/1eodf-vNvrWxIxNGknfby89XBl00gk9NS?usp=sharing</t>
  </si>
  <si>
    <t>Thoi gian</t>
  </si>
  <si>
    <t>Công việc</t>
  </si>
  <si>
    <t>Mô tả chi tiết</t>
  </si>
  <si>
    <t>Người phụ trách chính</t>
  </si>
  <si>
    <t xml:space="preserve">Người hỗ trợ </t>
  </si>
  <si>
    <t>Kết quả đầu ra</t>
  </si>
  <si>
    <t xml:space="preserve">Ghi chú </t>
  </si>
  <si>
    <t>Trạng thái</t>
  </si>
  <si>
    <t>Cột 1</t>
  </si>
  <si>
    <t>28/10</t>
  </si>
  <si>
    <t>Chuẩn bị môi trường</t>
  </si>
  <si>
    <t>Cài Python, Jupyter, các thư viện (pandas, sklearn, imblearn, matplotlib, 
seaborn). Tạo cấu trúc thư mục dự án.</t>
  </si>
  <si>
    <t>Ca Nhom</t>
  </si>
  <si>
    <t>Thư mục dự án hoàn chỉnh 
(KhaiPhaDuLieu/)</t>
  </si>
  <si>
    <r>
      <rPr>
        <rFont val="Times New Roman"/>
        <b/>
        <color theme="1"/>
        <sz val="13.0"/>
      </rPr>
      <t>Ưu tiên cao nhất</t>
    </r>
    <r>
      <rPr>
        <rFont val="Times New Roman"/>
        <color theme="1"/>
        <sz val="13.0"/>
      </rPr>
      <t>. Bắt buộc
 xong trước ngày 29/10 để 
làm dữ liệu.</t>
    </r>
  </si>
  <si>
    <t>Done</t>
  </si>
  <si>
    <t>29/10</t>
  </si>
  <si>
    <t>Thu thập dữ liệu</t>
  </si>
  <si>
    <t>Tải dataset BRFSS từ CDC, kiểm tra định dạng CSV, nạp vào pandas.</t>
  </si>
  <si>
    <t>BRFSS.csv</t>
  </si>
  <si>
    <r>
      <rPr>
        <rFont val="Times New Roman"/>
        <b/>
        <color theme="1"/>
        <sz val="13.0"/>
      </rPr>
      <t xml:space="preserve">Phụ thuộc 1. </t>
    </r>
    <r>
      <rPr>
        <rFont val="Times New Roman"/>
        <color theme="1"/>
        <sz val="13.0"/>
      </rPr>
      <t>Xong trong 
ngày để khảo sát dữ liệu.</t>
    </r>
  </si>
  <si>
    <t>29-30/10</t>
  </si>
  <si>
    <t>Khảo sát dữ liệu</t>
  </si>
  <si>
    <t>Xem số dòng, cột, kiểu dữ liệu, thống kê mô tả, phát hiện giá trị trống</t>
  </si>
  <si>
    <t>feature_selection.ipynb</t>
  </si>
  <si>
    <r>
      <rPr>
        <rFont val="Times New Roman"/>
        <b/>
        <color theme="1"/>
        <sz val="13.0"/>
      </rPr>
      <t xml:space="preserve">Ưu tiên cao. </t>
    </r>
    <r>
      <rPr>
        <rFont val="Times New Roman"/>
        <color theme="1"/>
        <sz val="13.0"/>
      </rPr>
      <t>Cần hoàn tất
 trước khi làm sạch dữ liệu.</t>
    </r>
  </si>
  <si>
    <t>30-10</t>
  </si>
  <si>
    <t>Làm sạch dữ liệu</t>
  </si>
  <si>
    <t>Xử lý missing values, loại cột &gt;40% trống, chuyển kiểu dữ liệu phù hợp.</t>
  </si>
  <si>
    <r>
      <rPr>
        <rFont val="Times New Roman"/>
        <b/>
        <color theme="1"/>
        <sz val="13.0"/>
      </rPr>
      <t>Phụ thuộc 3.</t>
    </r>
    <r>
      <rPr>
        <rFont val="Times New Roman"/>
        <color theme="1"/>
        <sz val="13.0"/>
      </rPr>
      <t xml:space="preserve"> Bắt buộc hoàn
 tất trước 31/10 để chuẩn hóa.</t>
    </r>
  </si>
  <si>
    <t>31/10</t>
  </si>
  <si>
    <t>Chuẩn hóa &amp; giảm chiều</t>
  </si>
  <si>
    <t>Dùng StandardScaler, loại cột tương quan &gt;0.8, tính Information Gain để 
chọn top 30 đặc trưng. Luu dang sach feature</t>
  </si>
  <si>
    <t>selected_columns.csv</t>
  </si>
  <si>
    <r>
      <rPr>
        <rFont val="Times New Roman"/>
        <b/>
        <color theme="1"/>
        <sz val="13.0"/>
      </rPr>
      <t>Ưu tiên cao.</t>
    </r>
    <r>
      <rPr>
        <rFont val="Times New Roman"/>
        <color theme="1"/>
        <sz val="13.0"/>
      </rPr>
      <t xml:space="preserve"> Kết quả dùng
 cho tất cả mô hình.
</t>
    </r>
  </si>
  <si>
    <t>1/11</t>
  </si>
  <si>
    <t>Xử lý mất cân bằng</t>
  </si>
  <si>
    <t>Áp dụng SMOTE hoặc class_weight='balanced'.</t>
  </si>
  <si>
    <r>
      <rPr>
        <rFont val="Times New Roman"/>
        <b/>
        <color theme="1"/>
        <sz val="13.0"/>
      </rPr>
      <t xml:space="preserve">Phụ thuộc 5. </t>
    </r>
    <r>
      <rPr>
        <rFont val="Times New Roman"/>
        <color theme="1"/>
        <sz val="13.0"/>
      </rPr>
      <t>Hoàn tất để 
chia train/test.</t>
    </r>
  </si>
  <si>
    <t>Chia tập train/test</t>
  </si>
  <si>
    <t>Chia dữ liệu 70/30, lưu thành 2 file riêng.</t>
  </si>
  <si>
    <t>train.csv, test.csv</t>
  </si>
  <si>
    <r>
      <rPr>
        <rFont val="Times New Roman"/>
        <b/>
        <color theme="1"/>
        <sz val="13.0"/>
      </rPr>
      <t xml:space="preserve">Phụ thuộc 6. </t>
    </r>
    <r>
      <rPr>
        <rFont val="Times New Roman"/>
        <color theme="1"/>
        <sz val="13.0"/>
      </rPr>
      <t>Chuẩn bị cho 
mô hình học.</t>
    </r>
  </si>
  <si>
    <t>2/11</t>
  </si>
  <si>
    <t>Huấn luyện mô hình SVM</t>
  </si>
  <si>
    <t>Áp dụng SVC(kernel='rbf'), tuning tham số, đánh giá Precision/Recall.</t>
  </si>
  <si>
    <t>SVM.ipynb, svm.pkl</t>
  </si>
  <si>
    <r>
      <rPr>
        <rFont val="Times New Roman"/>
        <b/>
        <color theme="1"/>
        <sz val="13.0"/>
      </rPr>
      <t xml:space="preserve">Ưu tiên cao. </t>
    </r>
    <r>
      <rPr>
        <rFont val="Times New Roman"/>
        <color theme="1"/>
        <sz val="13.0"/>
      </rPr>
      <t>Một trong hai mô hình
 chính (so với Naive Bayes).</t>
    </r>
  </si>
  <si>
    <t>To Do</t>
  </si>
  <si>
    <t>xử lý mất cân bằng bằng cách dùng tham số class_weight (ví dụ: class_weight={0:1, 1:18}) ngay khi huấn luyện mô hình SVM và ANN.</t>
  </si>
  <si>
    <t>Huấn luyện mô hình
 Naive Bayes</t>
  </si>
  <si>
    <t>Dùng GaussianNB, lưu kết quả &amp; mô hình.</t>
  </si>
  <si>
    <t>NaiveBayes.ipynb, nb.pkl</t>
  </si>
  <si>
    <r>
      <rPr>
        <rFont val="Times New Roman"/>
        <b/>
        <color theme="1"/>
        <sz val="13.0"/>
      </rPr>
      <t xml:space="preserve">Phụ thuộc 7. </t>
    </r>
    <r>
      <rPr>
        <rFont val="Times New Roman"/>
        <color theme="1"/>
        <sz val="13.0"/>
      </rPr>
      <t>Cần hoàn tất 
trước 03/11.</t>
    </r>
  </si>
  <si>
    <t>3/11</t>
  </si>
  <si>
    <t>Huấn luyện mô hình 
Random Forest</t>
  </si>
  <si>
    <t>Dùng RandomForestClassifier, chọn n_estimators tối ưu.</t>
  </si>
  <si>
    <t>RandomForest.ipynb, rf.pkl</t>
  </si>
  <si>
    <t>Hoàn thành để so sánh kết quả.</t>
  </si>
  <si>
    <t>Huấn luyện mô hình KNN</t>
  </si>
  <si>
    <t>Thử nhiều giá trị K (3–11), đánh giá Accuracy, Recall.</t>
  </si>
  <si>
    <t>KNN.ipynb, knn.pkl</t>
  </si>
  <si>
    <t>Ưu tiên thấp hơn, chủ yếu để so sánh</t>
  </si>
  <si>
    <t>3-4/11</t>
  </si>
  <si>
    <t>Huấn luyện mô hình ANN</t>
  </si>
  <si>
    <t>Dùng MLPClassifier hoặc Keras, thiết kế 3–4 lớp ẩn, lưu mô hình.</t>
  </si>
  <si>
    <t>ANN.ipynb, ann.pkl</t>
  </si>
  <si>
    <t>Thực hiện sau khi các mô hình cơ bản 
chạy ổn.</t>
  </si>
  <si>
    <t>4/11</t>
  </si>
  <si>
    <t>Đánh giá mô hình</t>
  </si>
  <si>
    <t>So sánh các mô hình theo Precision, Recall, F1, Accuracy.
Tạo bảng tổng hợp Precision, Recall, F1 cho tất cả model trong 1 file 
(evaluation.ipynb)</t>
  </si>
  <si>
    <t>evaluation.ipynb, bảng kết quả</t>
  </si>
  <si>
    <r>
      <rPr>
        <rFont val="Times New Roman"/>
        <b/>
        <color theme="1"/>
        <sz val="13.0"/>
      </rPr>
      <t>Ưu tiên cao.</t>
    </r>
    <r>
      <rPr>
        <rFont val="Times New Roman"/>
        <color theme="1"/>
        <sz val="13.0"/>
      </rPr>
      <t xml:space="preserve"> Cần hoàn tất để 
viết báo cáo.</t>
    </r>
  </si>
  <si>
    <t>5/11</t>
  </si>
  <si>
    <t>Trực quan hóa</t>
  </si>
  <si>
    <t>Vẽ Confusion Matrix, ROC Curve, biểu đồ cột so sánh chỉ số.</t>
  </si>
  <si>
    <t>charts.png, biểu đồ trong báo cáo</t>
  </si>
  <si>
    <r>
      <rPr>
        <rFont val="Times New Roman"/>
        <b/>
        <color theme="1"/>
        <sz val="13.0"/>
      </rPr>
      <t xml:space="preserve">Phụ thuộc 13. </t>
    </r>
    <r>
      <rPr>
        <rFont val="Times New Roman"/>
        <color theme="1"/>
        <sz val="13.0"/>
      </rPr>
      <t>Kết quả sẽ dùng 
trong slide và báo cáo.</t>
    </r>
  </si>
  <si>
    <t>6/11</t>
  </si>
  <si>
    <t>Phân tích &amp; chọn mô hình tối ưu</t>
  </si>
  <si>
    <t>Chọn mô hình có Recall cao nhất, phân tích lý do chọn.</t>
  </si>
  <si>
    <t>final_results.txt</t>
  </si>
  <si>
    <r>
      <rPr>
        <rFont val="Times New Roman"/>
        <b/>
        <color theme="1"/>
        <sz val="13.0"/>
      </rPr>
      <t>Phụ thuộc 14.</t>
    </r>
    <r>
      <rPr>
        <rFont val="Times New Roman"/>
        <color theme="1"/>
        <sz val="13.0"/>
      </rPr>
      <t xml:space="preserve"> Ưu tiên cao. 
Dùng cho phần Conclusion.</t>
    </r>
  </si>
  <si>
    <t>7-8/11</t>
  </si>
  <si>
    <t>Viết báo cáo</t>
  </si>
  <si>
    <t>Viết phần 1–5 (Introduction → Conclusion), chèn hình và bảng kết quả.</t>
  </si>
  <si>
    <t>report.docx</t>
  </si>
  <si>
    <t>Bắt buộc hoàn thành trước 09/11. 
Ưu tiên cao.</t>
  </si>
  <si>
    <t>9/11</t>
  </si>
  <si>
    <t>Làm slide thuyết trình</t>
  </si>
  <si>
    <t>Chuẩn bị 8–10 slide: bối cảnh, quy trình, kết quả, kết luận.</t>
  </si>
  <si>
    <t>slides.pptx</t>
  </si>
  <si>
    <r>
      <rPr>
        <rFont val="Times New Roman"/>
        <b/>
        <color theme="1"/>
        <sz val="13.0"/>
      </rPr>
      <t>Phụ thuộc 16.</t>
    </r>
    <r>
      <rPr>
        <rFont val="Times New Roman"/>
        <color theme="1"/>
        <sz val="13.0"/>
      </rPr>
      <t xml:space="preserve"> Hoàn tất để luyện 
thuyết trình.</t>
    </r>
  </si>
  <si>
    <t>10/11</t>
  </si>
  <si>
    <t>Chạy thử demo &amp; tổng duyệt</t>
  </si>
  <si>
    <t>Chạy thử mô hình, kiểm tra kết quả, chia phần thuyết trình.</t>
  </si>
  <si>
    <t>Bản demo + rehearsal</t>
  </si>
  <si>
    <r>
      <rPr>
        <rFont val="Times New Roman"/>
        <b/>
        <color theme="1"/>
        <sz val="13.0"/>
      </rPr>
      <t>Ưu tiên cao nhất cuối cùng.</t>
    </r>
    <r>
      <rPr>
        <rFont val="Times New Roman"/>
        <color theme="1"/>
        <sz val="13.0"/>
      </rPr>
      <t xml:space="preserve"> Bắt
 buộc hoàn thành trước ngày 11/11.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</si>
</sst>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3.0"/>
      <color theme="1"/>
      <name val="Times New Roman"/>
    </font>
    <font>
      <sz val="13.0"/>
      <color theme="1"/>
      <name val="Times New Roman"/>
    </font>
    <font>
      <u/>
      <sz val="13.0"/>
      <color rgb="FF0000FF"/>
      <name val="Times New Roman"/>
    </font>
    <font>
      <color theme="1"/>
      <name val="Arial"/>
      <scheme val="minor"/>
    </font>
    <font>
      <u/>
      <sz val="13.0"/>
      <color rgb="FF0000FF"/>
      <name val="Times New Roman"/>
    </font>
    <font>
      <u/>
      <sz val="13.0"/>
      <color theme="1"/>
      <name val="Times New Roman"/>
    </font>
    <font>
      <u/>
      <sz val="13.0"/>
      <color rgb="FF0000FF"/>
      <name val="Times New Roman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Font="1"/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8" numFmtId="49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626E7A"/>
          <bgColor rgb="FF626E7A"/>
        </patternFill>
      </fill>
      <border/>
    </dxf>
  </dxfs>
  <tableStyles count="3">
    <tableStyle count="4" pivot="0" name="Thanh vi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anh vie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ia viec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4" displayName="Danh_sach_thanh_vien" name="Danh_sach_thanh_vien" id="1">
  <tableColumns count="4">
    <tableColumn name="STT" id="1"/>
    <tableColumn name="Ho Ten" id="2"/>
    <tableColumn name="Gmail" id="3"/>
    <tableColumn name="GitHub" id="4"/>
  </tableColumns>
  <tableStyleInfo name="Thanh vien-style" showColumnStripes="0" showFirstColumn="1" showLastColumn="1" showRowStripes="1"/>
</table>
</file>

<file path=xl/tables/table2.xml><?xml version="1.0" encoding="utf-8"?>
<table xmlns="http://schemas.openxmlformats.org/spreadsheetml/2006/main" ref="F1:I4" displayName="Tong_quan_phan_cong" name="Tong_quan_phan_cong" id="2">
  <tableColumns count="4">
    <tableColumn name="Thành viên" id="1"/>
    <tableColumn name="Trách nhiệm chính" id="2"/>
    <tableColumn name="Trách nhiệm phụ" id="3"/>
    <tableColumn name="Chon Role" id="4"/>
  </tableColumns>
  <tableStyleInfo name="Thanh vien-style 2" showColumnStripes="0" showFirstColumn="1" showLastColumn="1" showRowStripes="1"/>
</table>
</file>

<file path=xl/tables/table3.xml><?xml version="1.0" encoding="utf-8"?>
<table xmlns="http://schemas.openxmlformats.org/spreadsheetml/2006/main" ref="A1:J20" displayName="Chia_viec" name="Chia_viec" id="3">
  <autoFilter ref="$A$1:$J$20"/>
  <tableColumns count="10">
    <tableColumn name="STT" id="1"/>
    <tableColumn name="Thoi gian" id="2"/>
    <tableColumn name="Công việc" id="3"/>
    <tableColumn name="Mô tả chi tiết" id="4"/>
    <tableColumn name="Người phụ trách chính" id="5"/>
    <tableColumn name="Người hỗ trợ " id="6"/>
    <tableColumn name="Kết quả đầu ra" id="7"/>
    <tableColumn name="Ghi chú " id="8"/>
    <tableColumn name="Trạng thái" id="9"/>
    <tableColumn name="Cột 1" id="10"/>
  </tableColumns>
  <tableStyleInfo name="Chia vie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github.com/tuan2linh" TargetMode="External"/><Relationship Id="rId2" Type="http://schemas.openxmlformats.org/officeDocument/2006/relationships/hyperlink" Target="https://github.com/phucmaixuan" TargetMode="External"/><Relationship Id="rId3" Type="http://schemas.openxmlformats.org/officeDocument/2006/relationships/hyperlink" Target="https://github.com/khoaphunsonac" TargetMode="External"/><Relationship Id="rId4" Type="http://schemas.openxmlformats.org/officeDocument/2006/relationships/hyperlink" Target="https://docs.google.com/document/d/1OodI-nxyYXniLS-Z8YMASOuUHuRcg_iuydRmD1y5FDE/edit?tab=t.0" TargetMode="Externa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5" Type="http://schemas.openxmlformats.org/officeDocument/2006/relationships/hyperlink" Target="https://github.com/tuan2linh/KhaiPhaDuLieu_HeartAttackPrediction" TargetMode="External"/><Relationship Id="rId6" Type="http://schemas.openxmlformats.org/officeDocument/2006/relationships/hyperlink" Target="https://drive.google.com/drive/folders/1eodf-vNvrWxIxNGknfby89XBl00gk9NS?usp=sharing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21.25"/>
    <col customWidth="1" min="3" max="3" width="32.0"/>
    <col customWidth="1" min="4" max="4" width="30.38"/>
    <col customWidth="1" min="5" max="5" width="12.13"/>
    <col customWidth="1" min="6" max="6" width="24.38"/>
    <col customWidth="1" min="7" max="7" width="37.63"/>
    <col customWidth="1" min="8" max="8" width="26.75"/>
    <col customWidth="1" min="9" max="9" width="19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4</v>
      </c>
      <c r="G1" s="1" t="s">
        <v>5</v>
      </c>
      <c r="H1" s="1" t="s">
        <v>6</v>
      </c>
      <c r="I1" s="4" t="s">
        <v>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5">
        <v>1.0</v>
      </c>
      <c r="B2" s="5" t="s">
        <v>8</v>
      </c>
      <c r="C2" s="5" t="s">
        <v>9</v>
      </c>
      <c r="D2" s="6" t="s">
        <v>10</v>
      </c>
      <c r="E2" s="2"/>
      <c r="F2" s="7" t="s">
        <v>11</v>
      </c>
      <c r="G2" s="5" t="s">
        <v>12</v>
      </c>
      <c r="H2" s="5" t="s">
        <v>13</v>
      </c>
      <c r="I2" s="8" t="s">
        <v>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5">
        <v>2.0</v>
      </c>
      <c r="B3" s="5" t="s">
        <v>15</v>
      </c>
      <c r="C3" s="5" t="s">
        <v>16</v>
      </c>
      <c r="D3" s="9" t="s">
        <v>17</v>
      </c>
      <c r="E3" s="2"/>
      <c r="F3" s="7" t="s">
        <v>18</v>
      </c>
      <c r="G3" s="5" t="s">
        <v>19</v>
      </c>
      <c r="H3" s="5" t="s">
        <v>20</v>
      </c>
      <c r="I3" s="8" t="s">
        <v>21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5">
        <v>3.0</v>
      </c>
      <c r="B4" s="5" t="s">
        <v>22</v>
      </c>
      <c r="C4" s="5" t="s">
        <v>23</v>
      </c>
      <c r="D4" s="9" t="s">
        <v>24</v>
      </c>
      <c r="E4" s="2"/>
      <c r="F4" s="7" t="s">
        <v>25</v>
      </c>
      <c r="G4" s="5" t="s">
        <v>26</v>
      </c>
      <c r="H4" s="5" t="s">
        <v>27</v>
      </c>
      <c r="I4" s="8" t="s">
        <v>28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10" t="s">
        <v>29</v>
      </c>
      <c r="C7" s="11" t="s">
        <v>29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2" t="s">
        <v>30</v>
      </c>
      <c r="C9" s="13" t="s">
        <v>31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12" t="s">
        <v>32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13" t="s">
        <v>33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qref="I2:I4">
      <formula1>"Tuan Linh,Dang Khoa,Xuan Phuc"</formula1>
    </dataValidation>
  </dataValidations>
  <hyperlinks>
    <hyperlink r:id="rId1" ref="D2"/>
    <hyperlink r:id="rId2" ref="D3"/>
    <hyperlink r:id="rId3" ref="D4"/>
    <hyperlink r:id="rId4" location="heading=h.yem2hy9qvwzi" ref="C7"/>
    <hyperlink r:id="rId5" ref="C9"/>
    <hyperlink r:id="rId6" ref="C13"/>
  </hyperlinks>
  <drawing r:id="rId7"/>
  <tableParts count="2"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17.63"/>
    <col customWidth="1" min="3" max="3" width="25.0"/>
    <col customWidth="1" min="4" max="4" width="68.0"/>
    <col customWidth="1" min="5" max="5" width="28.38"/>
    <col customWidth="1" min="6" max="6" width="23.88"/>
    <col customWidth="1" min="7" max="7" width="31.0"/>
    <col customWidth="1" min="8" max="8" width="32.63"/>
    <col customWidth="1" min="9" max="9" width="17.63"/>
    <col customWidth="1" min="10" max="10" width="20.88"/>
  </cols>
  <sheetData>
    <row r="1" ht="22.5" customHeight="1">
      <c r="A1" s="14" t="s">
        <v>0</v>
      </c>
      <c r="B1" s="14" t="s">
        <v>34</v>
      </c>
      <c r="C1" s="14" t="s">
        <v>35</v>
      </c>
      <c r="D1" s="14" t="s">
        <v>36</v>
      </c>
      <c r="E1" s="14" t="s">
        <v>37</v>
      </c>
      <c r="F1" s="14" t="s">
        <v>38</v>
      </c>
      <c r="G1" s="14" t="s">
        <v>39</v>
      </c>
      <c r="H1" s="14" t="s">
        <v>40</v>
      </c>
      <c r="I1" s="14" t="s">
        <v>41</v>
      </c>
      <c r="J1" s="15" t="s">
        <v>42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5">
        <v>1.0</v>
      </c>
      <c r="B2" s="16" t="s">
        <v>43</v>
      </c>
      <c r="C2" s="5" t="s">
        <v>44</v>
      </c>
      <c r="D2" s="5" t="s">
        <v>45</v>
      </c>
      <c r="E2" s="17" t="s">
        <v>46</v>
      </c>
      <c r="F2" s="17"/>
      <c r="G2" s="5" t="s">
        <v>47</v>
      </c>
      <c r="H2" s="5" t="s">
        <v>48</v>
      </c>
      <c r="I2" s="17" t="s">
        <v>49</v>
      </c>
      <c r="J2" s="1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19">
        <f t="shared" ref="A3:A20" si="1">A2+1</f>
        <v>2</v>
      </c>
      <c r="B3" s="16" t="s">
        <v>50</v>
      </c>
      <c r="C3" s="5" t="s">
        <v>51</v>
      </c>
      <c r="D3" s="5" t="s">
        <v>52</v>
      </c>
      <c r="E3" s="17" t="s">
        <v>14</v>
      </c>
      <c r="F3" s="17" t="s">
        <v>28</v>
      </c>
      <c r="G3" s="5" t="s">
        <v>53</v>
      </c>
      <c r="H3" s="5" t="s">
        <v>54</v>
      </c>
      <c r="I3" s="17" t="s">
        <v>49</v>
      </c>
      <c r="J3" s="1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19">
        <f t="shared" si="1"/>
        <v>3</v>
      </c>
      <c r="B4" s="7" t="s">
        <v>55</v>
      </c>
      <c r="C4" s="5" t="s">
        <v>56</v>
      </c>
      <c r="D4" s="5" t="s">
        <v>57</v>
      </c>
      <c r="E4" s="17" t="s">
        <v>14</v>
      </c>
      <c r="F4" s="17" t="s">
        <v>28</v>
      </c>
      <c r="G4" s="5" t="s">
        <v>58</v>
      </c>
      <c r="H4" s="5" t="s">
        <v>59</v>
      </c>
      <c r="I4" s="17" t="s">
        <v>49</v>
      </c>
      <c r="J4" s="1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19">
        <f t="shared" si="1"/>
        <v>4</v>
      </c>
      <c r="B5" s="16" t="s">
        <v>60</v>
      </c>
      <c r="C5" s="5" t="s">
        <v>61</v>
      </c>
      <c r="D5" s="5" t="s">
        <v>62</v>
      </c>
      <c r="E5" s="17" t="s">
        <v>14</v>
      </c>
      <c r="F5" s="17" t="s">
        <v>21</v>
      </c>
      <c r="G5" s="5" t="s">
        <v>58</v>
      </c>
      <c r="H5" s="5" t="s">
        <v>63</v>
      </c>
      <c r="I5" s="17" t="s">
        <v>49</v>
      </c>
      <c r="J5" s="18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19">
        <f t="shared" si="1"/>
        <v>5</v>
      </c>
      <c r="B6" s="16" t="s">
        <v>64</v>
      </c>
      <c r="C6" s="5" t="s">
        <v>65</v>
      </c>
      <c r="D6" s="5" t="s">
        <v>66</v>
      </c>
      <c r="E6" s="17" t="s">
        <v>14</v>
      </c>
      <c r="F6" s="17" t="s">
        <v>21</v>
      </c>
      <c r="G6" s="5" t="s">
        <v>67</v>
      </c>
      <c r="H6" s="5" t="s">
        <v>68</v>
      </c>
      <c r="I6" s="17" t="s">
        <v>49</v>
      </c>
      <c r="J6" s="18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19">
        <f t="shared" si="1"/>
        <v>6</v>
      </c>
      <c r="B7" s="16" t="s">
        <v>69</v>
      </c>
      <c r="C7" s="5" t="s">
        <v>70</v>
      </c>
      <c r="D7" s="5" t="s">
        <v>71</v>
      </c>
      <c r="E7" s="17" t="s">
        <v>14</v>
      </c>
      <c r="F7" s="17" t="s">
        <v>21</v>
      </c>
      <c r="G7" s="5" t="s">
        <v>58</v>
      </c>
      <c r="H7" s="5" t="s">
        <v>72</v>
      </c>
      <c r="I7" s="17" t="s">
        <v>49</v>
      </c>
      <c r="J7" s="2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19">
        <f t="shared" si="1"/>
        <v>7</v>
      </c>
      <c r="B8" s="16" t="s">
        <v>69</v>
      </c>
      <c r="C8" s="5" t="s">
        <v>73</v>
      </c>
      <c r="D8" s="5" t="s">
        <v>74</v>
      </c>
      <c r="E8" s="17" t="s">
        <v>14</v>
      </c>
      <c r="F8" s="17"/>
      <c r="G8" s="5" t="s">
        <v>75</v>
      </c>
      <c r="H8" s="5" t="s">
        <v>76</v>
      </c>
      <c r="I8" s="17" t="s">
        <v>49</v>
      </c>
      <c r="J8" s="1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19">
        <f t="shared" si="1"/>
        <v>8</v>
      </c>
      <c r="B9" s="16" t="s">
        <v>77</v>
      </c>
      <c r="C9" s="5" t="s">
        <v>78</v>
      </c>
      <c r="D9" s="5" t="s">
        <v>79</v>
      </c>
      <c r="E9" s="17" t="s">
        <v>21</v>
      </c>
      <c r="F9" s="17" t="s">
        <v>14</v>
      </c>
      <c r="G9" s="5" t="s">
        <v>80</v>
      </c>
      <c r="H9" s="5" t="s">
        <v>81</v>
      </c>
      <c r="I9" s="17" t="s">
        <v>82</v>
      </c>
      <c r="J9" s="20" t="s">
        <v>83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19">
        <f t="shared" si="1"/>
        <v>9</v>
      </c>
      <c r="B10" s="21" t="s">
        <v>77</v>
      </c>
      <c r="C10" s="5" t="s">
        <v>84</v>
      </c>
      <c r="D10" s="5" t="s">
        <v>85</v>
      </c>
      <c r="E10" s="17" t="s">
        <v>21</v>
      </c>
      <c r="F10" s="17" t="s">
        <v>14</v>
      </c>
      <c r="G10" s="5" t="s">
        <v>86</v>
      </c>
      <c r="H10" s="5" t="s">
        <v>87</v>
      </c>
      <c r="I10" s="17" t="s">
        <v>82</v>
      </c>
      <c r="J10" s="1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19">
        <f t="shared" si="1"/>
        <v>10</v>
      </c>
      <c r="B11" s="16" t="s">
        <v>88</v>
      </c>
      <c r="C11" s="5" t="s">
        <v>89</v>
      </c>
      <c r="D11" s="5" t="s">
        <v>90</v>
      </c>
      <c r="E11" s="17" t="s">
        <v>21</v>
      </c>
      <c r="F11" s="17" t="s">
        <v>14</v>
      </c>
      <c r="G11" s="5" t="s">
        <v>91</v>
      </c>
      <c r="H11" s="5" t="s">
        <v>92</v>
      </c>
      <c r="I11" s="17" t="s">
        <v>82</v>
      </c>
      <c r="J11" s="1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19">
        <f t="shared" si="1"/>
        <v>11</v>
      </c>
      <c r="B12" s="16" t="s">
        <v>88</v>
      </c>
      <c r="C12" s="5" t="s">
        <v>93</v>
      </c>
      <c r="D12" s="5" t="s">
        <v>94</v>
      </c>
      <c r="E12" s="17" t="s">
        <v>14</v>
      </c>
      <c r="F12" s="17"/>
      <c r="G12" s="5" t="s">
        <v>95</v>
      </c>
      <c r="H12" s="5" t="s">
        <v>96</v>
      </c>
      <c r="I12" s="17" t="s">
        <v>82</v>
      </c>
      <c r="J12" s="1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19">
        <f t="shared" si="1"/>
        <v>12</v>
      </c>
      <c r="B13" s="7" t="s">
        <v>97</v>
      </c>
      <c r="C13" s="5" t="s">
        <v>98</v>
      </c>
      <c r="D13" s="5" t="s">
        <v>99</v>
      </c>
      <c r="E13" s="17" t="s">
        <v>21</v>
      </c>
      <c r="F13" s="17" t="s">
        <v>28</v>
      </c>
      <c r="G13" s="5" t="s">
        <v>100</v>
      </c>
      <c r="H13" s="5" t="s">
        <v>101</v>
      </c>
      <c r="I13" s="17" t="s">
        <v>82</v>
      </c>
      <c r="J13" s="18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19">
        <f t="shared" si="1"/>
        <v>13</v>
      </c>
      <c r="B14" s="16" t="s">
        <v>102</v>
      </c>
      <c r="C14" s="5" t="s">
        <v>103</v>
      </c>
      <c r="D14" s="5" t="s">
        <v>104</v>
      </c>
      <c r="E14" s="17" t="s">
        <v>28</v>
      </c>
      <c r="F14" s="17" t="s">
        <v>21</v>
      </c>
      <c r="G14" s="5" t="s">
        <v>105</v>
      </c>
      <c r="H14" s="5" t="s">
        <v>106</v>
      </c>
      <c r="I14" s="17" t="s">
        <v>82</v>
      </c>
      <c r="J14" s="18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19">
        <f t="shared" si="1"/>
        <v>14</v>
      </c>
      <c r="B15" s="16" t="s">
        <v>107</v>
      </c>
      <c r="C15" s="5" t="s">
        <v>108</v>
      </c>
      <c r="D15" s="5" t="s">
        <v>109</v>
      </c>
      <c r="E15" s="17" t="s">
        <v>28</v>
      </c>
      <c r="F15" s="17"/>
      <c r="G15" s="5" t="s">
        <v>110</v>
      </c>
      <c r="H15" s="5" t="s">
        <v>111</v>
      </c>
      <c r="I15" s="17" t="s">
        <v>82</v>
      </c>
      <c r="J15" s="1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19">
        <f t="shared" si="1"/>
        <v>15</v>
      </c>
      <c r="B16" s="16" t="s">
        <v>112</v>
      </c>
      <c r="C16" s="5" t="s">
        <v>113</v>
      </c>
      <c r="D16" s="5" t="s">
        <v>114</v>
      </c>
      <c r="E16" s="17" t="s">
        <v>28</v>
      </c>
      <c r="F16" s="17" t="s">
        <v>21</v>
      </c>
      <c r="G16" s="5" t="s">
        <v>115</v>
      </c>
      <c r="H16" s="5" t="s">
        <v>116</v>
      </c>
      <c r="I16" s="17" t="s">
        <v>82</v>
      </c>
      <c r="J16" s="18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19">
        <f t="shared" si="1"/>
        <v>16</v>
      </c>
      <c r="B17" s="7" t="s">
        <v>117</v>
      </c>
      <c r="C17" s="5" t="s">
        <v>118</v>
      </c>
      <c r="D17" s="5" t="s">
        <v>119</v>
      </c>
      <c r="E17" s="17" t="s">
        <v>28</v>
      </c>
      <c r="F17" s="17" t="s">
        <v>46</v>
      </c>
      <c r="G17" s="5" t="s">
        <v>120</v>
      </c>
      <c r="H17" s="5" t="s">
        <v>121</v>
      </c>
      <c r="I17" s="17" t="s">
        <v>82</v>
      </c>
      <c r="J17" s="1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19">
        <f t="shared" si="1"/>
        <v>17</v>
      </c>
      <c r="B18" s="16" t="s">
        <v>122</v>
      </c>
      <c r="C18" s="5" t="s">
        <v>123</v>
      </c>
      <c r="D18" s="5" t="s">
        <v>124</v>
      </c>
      <c r="E18" s="17" t="s">
        <v>28</v>
      </c>
      <c r="F18" s="17" t="s">
        <v>46</v>
      </c>
      <c r="G18" s="5" t="s">
        <v>125</v>
      </c>
      <c r="H18" s="5" t="s">
        <v>126</v>
      </c>
      <c r="I18" s="17" t="s">
        <v>82</v>
      </c>
      <c r="J18" s="18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19">
        <f t="shared" si="1"/>
        <v>18</v>
      </c>
      <c r="B19" s="16" t="s">
        <v>127</v>
      </c>
      <c r="C19" s="5" t="s">
        <v>128</v>
      </c>
      <c r="D19" s="5" t="s">
        <v>129</v>
      </c>
      <c r="E19" s="17" t="s">
        <v>46</v>
      </c>
      <c r="F19" s="17"/>
      <c r="G19" s="5" t="s">
        <v>130</v>
      </c>
      <c r="H19" s="5" t="s">
        <v>131</v>
      </c>
      <c r="I19" s="17" t="s">
        <v>82</v>
      </c>
      <c r="J19" s="18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19">
        <f t="shared" si="1"/>
        <v>19</v>
      </c>
      <c r="B20" s="22"/>
      <c r="C20" s="19"/>
      <c r="D20" s="19"/>
      <c r="E20" s="23"/>
      <c r="F20" s="23"/>
      <c r="G20" s="19"/>
      <c r="H20" s="19"/>
      <c r="I20" s="17"/>
      <c r="J20" s="1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qref="E2:E20">
      <formula1>"Ca Nhom,Tuan Linh,Dang Khoa,Xuan Phuc,Member A,Member B,Member C"</formula1>
    </dataValidation>
    <dataValidation type="list" allowBlank="1" showErrorMessage="1" sqref="I2:I20">
      <formula1>"Done,Doing,To Do"</formula1>
    </dataValidation>
    <dataValidation type="list" allowBlank="1" sqref="F2:F20">
      <formula1>"Ca Nhom,Tuan Linh,Dang Khoa,Xuan Phuc,Member A,Member B,Member C"</formula1>
    </dataValidation>
    <dataValidation allowBlank="1" showDropDown="1" sqref="B2:B20"/>
  </dataValidations>
  <drawing r:id="rId1"/>
  <tableParts count="1">
    <tablePart r:id="rId3"/>
  </tableParts>
</worksheet>
</file>